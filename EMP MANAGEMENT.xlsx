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21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</calcChain>
</file>

<file path=xl/sharedStrings.xml><?xml version="1.0" encoding="utf-8"?>
<sst xmlns="http://schemas.openxmlformats.org/spreadsheetml/2006/main" count="144" uniqueCount="82">
  <si>
    <t>EMPLOYEE ID</t>
  </si>
  <si>
    <t>E.NAME</t>
  </si>
  <si>
    <t>AGE</t>
  </si>
  <si>
    <t>GENDER</t>
  </si>
  <si>
    <t>DEPARTMENT</t>
  </si>
  <si>
    <t>CITY</t>
  </si>
  <si>
    <t>JOINING DATE</t>
  </si>
  <si>
    <t>SALARY</t>
  </si>
  <si>
    <t>EXPEREINCE</t>
  </si>
  <si>
    <t>STATUS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</si>
  <si>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</si>
  <si>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</si>
  <si>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</si>
  <si>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</si>
  <si>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</si>
  <si>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</si>
  <si>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</si>
  <si>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</si>
  <si>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</si>
  <si>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</si>
  <si>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</si>
  <si>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</si>
  <si>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</si>
  <si>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</si>
  <si>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</si>
  <si>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</si>
  <si>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</si>
  <si>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</si>
  <si>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</si>
  <si>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 xml:space="preserve">RAM </t>
  </si>
  <si>
    <t>SHYAM</t>
  </si>
  <si>
    <t>MOHAN</t>
  </si>
  <si>
    <t>GEETA</t>
  </si>
  <si>
    <t>SARITA</t>
  </si>
  <si>
    <t>PAYAL</t>
  </si>
  <si>
    <t>RAJESH</t>
  </si>
  <si>
    <t>MAMTA</t>
  </si>
  <si>
    <t>MANISHA</t>
  </si>
  <si>
    <t>BHARATI</t>
  </si>
  <si>
    <t>LALU</t>
  </si>
  <si>
    <t>NARENDRA</t>
  </si>
  <si>
    <t>RAHUL</t>
  </si>
  <si>
    <t>KRISHNA</t>
  </si>
  <si>
    <t>GOPAL</t>
  </si>
  <si>
    <t>RADHA</t>
  </si>
  <si>
    <t>GOVIND</t>
  </si>
  <si>
    <t>TANZIRO</t>
  </si>
  <si>
    <t>GIYU</t>
  </si>
  <si>
    <t>M</t>
  </si>
  <si>
    <t>F</t>
  </si>
  <si>
    <t>IT</t>
  </si>
  <si>
    <t>HR</t>
  </si>
  <si>
    <t>SALES</t>
  </si>
  <si>
    <t>MARKETING</t>
  </si>
  <si>
    <t>HEAD</t>
  </si>
  <si>
    <t>MANAGER</t>
  </si>
  <si>
    <t>FINANCE</t>
  </si>
  <si>
    <t>INVESTOR</t>
  </si>
  <si>
    <t>DELHI</t>
  </si>
  <si>
    <t>PUSHKAR</t>
  </si>
  <si>
    <t>AJMER</t>
  </si>
  <si>
    <t>JAIPUR</t>
  </si>
  <si>
    <t>UDAIPUR</t>
  </si>
  <si>
    <t>CHURU</t>
  </si>
  <si>
    <t>SIKAR</t>
  </si>
  <si>
    <t>BARMER</t>
  </si>
  <si>
    <t>JODHPUR</t>
  </si>
  <si>
    <t>ALWAR</t>
  </si>
  <si>
    <t>KOTA</t>
  </si>
  <si>
    <t>PUNE</t>
  </si>
  <si>
    <t>A.P</t>
  </si>
  <si>
    <t>M.P</t>
  </si>
  <si>
    <t>BIHAR</t>
  </si>
  <si>
    <t>RAJASTHAN</t>
  </si>
  <si>
    <t>1 YEAR</t>
  </si>
  <si>
    <t>2 YEAR</t>
  </si>
  <si>
    <t>0 YEAR</t>
  </si>
  <si>
    <t>3 YEAR</t>
  </si>
  <si>
    <t>4 YEAR</t>
  </si>
  <si>
    <t>5 YEAR</t>
  </si>
  <si>
    <t>ACTIVE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</si>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</sst>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24" totalsRowShown="0" headerRowDxfId="11" dataDxfId="10" headerRowCellStyle="Normal" dataCellStyle="Normal">
  <autoFilter ref="A1:J24"/>
  <sortState ref="A2:J23">
    <sortCondition ref="H2:H23"/>
  </sortState>
  <tableColumns count="10">
    <tableColumn id="1" name="EMPLOYEE ID" dataDxfId="9" dataCellStyle="Normal"/>
    <tableColumn id="2" name="E.NAME" dataDxfId="8" dataCellStyle="Normal"/>
    <tableColumn id="3" name="AGE" dataDxfId="7" dataCellStyle="Normal"/>
    <tableColumn id="4" name="GENDER" dataDxfId="6" dataCellStyle="Normal"/>
    <tableColumn id="5" name="DEPARTMENT" dataDxfId="5" dataCellStyle="Normal"/>
    <tableColumn id="6" name="CITY" dataDxfId="4" dataCellStyle="Normal"/>
    <tableColumn id="7" name="JOINING DATE" dataDxfId="3" dataCellStyle="Normal"/>
    <tableColumn id="8" name="SALARY" dataDxfId="2" dataCellStyle="Normal"/>
    <tableColumn id="9" name="EXPEREINCE" dataDxfId="1" dataCellStyle="Normal"/>
    <tableColumn id="10" name="STATUS" dataDxfId="0" dataCellStyle="Normal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Normal="100" workbookViewId="0">
      <selection activeCell="H21" sqref="H21"/>
    </sheetView>
  </sheetViews>
  <sheetFormatPr defaultRowHeight="15" x14ac:dyDescent="0.25"/>
  <cols>
    <col min="1" max="1" width="19.42578125" style="1" customWidth="1"/>
    <col min="2" max="2" width="13.28515625" style="1" customWidth="1"/>
    <col min="3" max="3" width="9.85546875" style="1" customWidth="1"/>
    <col min="4" max="4" width="9.42578125" style="1" customWidth="1"/>
    <col min="5" max="5" width="17.85546875" style="1" customWidth="1"/>
    <col min="6" max="6" width="11.42578125" style="1" customWidth="1"/>
    <col min="7" max="7" width="18.28515625" style="1" customWidth="1"/>
    <col min="8" max="8" width="11.85546875" style="1" customWidth="1"/>
    <col min="9" max="9" width="16" style="1" customWidth="1"/>
    <col min="10" max="10" width="13.140625" style="1" customWidth="1"/>
    <col min="11" max="16384" width="9.140625" style="1"/>
  </cols>
  <sheetData>
    <row r="1" spans="1:10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 t="s">
        <v>11</v>
      </c>
      <c r="B2" s="1" t="s">
        <v>30</v>
      </c>
      <c r="C2" s="1">
        <v>25</v>
      </c>
      <c r="D2" s="1" t="s">
        <v>48</v>
      </c>
      <c r="E2" s="1" t="s">
        <v>50</v>
      </c>
      <c r="F2" s="1" t="s">
        <v>59</v>
      </c>
      <c r="G2" s="2">
        <f>DATE(2024,5,14)</f>
        <v>45426</v>
      </c>
      <c r="H2" s="1">
        <v>14000</v>
      </c>
      <c r="I2" s="1" t="s">
        <v>75</v>
      </c>
      <c r="J2" s="1" t="s">
        <v>80</v>
      </c>
    </row>
    <row r="3" spans="1:10" x14ac:dyDescent="0.25">
      <c r="A3" s="1" t="s">
        <v>10</v>
      </c>
      <c r="B3" s="1" t="s">
        <v>29</v>
      </c>
      <c r="C3" s="1">
        <v>22</v>
      </c>
      <c r="D3" s="1" t="s">
        <v>48</v>
      </c>
      <c r="E3" s="1" t="s">
        <v>50</v>
      </c>
      <c r="F3" s="1" t="s">
        <v>58</v>
      </c>
      <c r="G3" s="2">
        <f>DATE(2025,5,5)</f>
        <v>45782</v>
      </c>
      <c r="H3" s="1">
        <v>15000</v>
      </c>
      <c r="I3" s="1" t="s">
        <v>74</v>
      </c>
      <c r="J3" s="1" t="s">
        <v>80</v>
      </c>
    </row>
    <row r="4" spans="1:10" x14ac:dyDescent="0.25">
      <c r="A4" s="1" t="s">
        <v>16</v>
      </c>
      <c r="B4" s="1" t="s">
        <v>35</v>
      </c>
      <c r="C4" s="1">
        <v>31</v>
      </c>
      <c r="D4" s="1" t="s">
        <v>48</v>
      </c>
      <c r="E4" s="1" t="s">
        <v>50</v>
      </c>
      <c r="F4" s="1" t="s">
        <v>60</v>
      </c>
      <c r="G4" s="2">
        <f>DATE(2026,5,5)</f>
        <v>46147</v>
      </c>
      <c r="H4" s="1">
        <v>15000</v>
      </c>
      <c r="I4" s="1" t="s">
        <v>76</v>
      </c>
      <c r="J4" s="1" t="s">
        <v>80</v>
      </c>
    </row>
    <row r="5" spans="1:10" x14ac:dyDescent="0.25">
      <c r="A5" s="1" t="s">
        <v>19</v>
      </c>
      <c r="B5" s="1" t="s">
        <v>38</v>
      </c>
      <c r="C5" s="1">
        <v>29</v>
      </c>
      <c r="D5" s="1" t="s">
        <v>49</v>
      </c>
      <c r="E5" s="1" t="s">
        <v>50</v>
      </c>
      <c r="F5" s="1" t="s">
        <v>61</v>
      </c>
      <c r="G5" s="2">
        <f>DATE(2025,5,5)</f>
        <v>45782</v>
      </c>
      <c r="H5" s="1">
        <v>23000</v>
      </c>
      <c r="I5" s="1" t="s">
        <v>77</v>
      </c>
      <c r="J5" s="1" t="s">
        <v>80</v>
      </c>
    </row>
    <row r="6" spans="1:10" x14ac:dyDescent="0.25">
      <c r="A6" s="1" t="s">
        <v>25</v>
      </c>
      <c r="B6" s="1" t="s">
        <v>44</v>
      </c>
      <c r="C6" s="1">
        <v>20</v>
      </c>
      <c r="D6" s="1" t="s">
        <v>49</v>
      </c>
      <c r="E6" s="1" t="s">
        <v>50</v>
      </c>
      <c r="F6" s="1" t="s">
        <v>70</v>
      </c>
      <c r="G6" s="2">
        <f>DATE(2026,5,5)</f>
        <v>46147</v>
      </c>
      <c r="H6" s="1">
        <v>24000</v>
      </c>
      <c r="I6" s="1" t="s">
        <v>79</v>
      </c>
      <c r="J6" s="1" t="s">
        <v>80</v>
      </c>
    </row>
    <row r="7" spans="1:10" x14ac:dyDescent="0.25">
      <c r="A7" s="1" t="s">
        <v>26</v>
      </c>
      <c r="B7" s="1" t="s">
        <v>45</v>
      </c>
      <c r="C7" s="1">
        <v>23</v>
      </c>
      <c r="D7" s="1" t="s">
        <v>48</v>
      </c>
      <c r="E7" s="1" t="s">
        <v>54</v>
      </c>
      <c r="F7" s="1" t="s">
        <v>71</v>
      </c>
      <c r="G7" s="2">
        <f>DATE(2025,5,15)</f>
        <v>45792</v>
      </c>
      <c r="H7" s="1">
        <v>24500</v>
      </c>
      <c r="I7" s="1" t="s">
        <v>74</v>
      </c>
      <c r="J7" s="1" t="s">
        <v>80</v>
      </c>
    </row>
    <row r="8" spans="1:10" x14ac:dyDescent="0.25">
      <c r="A8" s="1" t="s">
        <v>13</v>
      </c>
      <c r="B8" s="1" t="s">
        <v>32</v>
      </c>
      <c r="C8" s="1">
        <v>25</v>
      </c>
      <c r="D8" s="1" t="s">
        <v>49</v>
      </c>
      <c r="E8" s="1" t="s">
        <v>52</v>
      </c>
      <c r="F8" s="1" t="s">
        <v>61</v>
      </c>
      <c r="G8" s="2">
        <f>DATE(2023,5,5)</f>
        <v>45051</v>
      </c>
      <c r="H8" s="1">
        <v>25000</v>
      </c>
      <c r="I8" s="1" t="s">
        <v>78</v>
      </c>
      <c r="J8" s="1" t="s">
        <v>80</v>
      </c>
    </row>
    <row r="9" spans="1:10" x14ac:dyDescent="0.25">
      <c r="A9" s="1" t="s">
        <v>15</v>
      </c>
      <c r="B9" s="1" t="s">
        <v>34</v>
      </c>
      <c r="C9" s="1">
        <v>32</v>
      </c>
      <c r="D9" s="1" t="s">
        <v>49</v>
      </c>
      <c r="E9" s="1" t="s">
        <v>52</v>
      </c>
      <c r="F9" s="1" t="s">
        <v>63</v>
      </c>
      <c r="G9" s="2">
        <f>DATE(2025,8,5)</f>
        <v>45874</v>
      </c>
      <c r="H9" s="1">
        <v>25000</v>
      </c>
      <c r="I9" s="1" t="s">
        <v>74</v>
      </c>
      <c r="J9" s="1" t="s">
        <v>80</v>
      </c>
    </row>
    <row r="10" spans="1:10" x14ac:dyDescent="0.25">
      <c r="A10" s="1" t="s">
        <v>22</v>
      </c>
      <c r="B10" s="1" t="s">
        <v>41</v>
      </c>
      <c r="C10" s="1">
        <v>23</v>
      </c>
      <c r="D10" s="1" t="s">
        <v>48</v>
      </c>
      <c r="E10" s="1" t="s">
        <v>50</v>
      </c>
      <c r="F10" s="1" t="s">
        <v>68</v>
      </c>
      <c r="G10" s="2">
        <f>DATE(2023,5,5)</f>
        <v>45051</v>
      </c>
      <c r="H10" s="1">
        <v>25000</v>
      </c>
      <c r="I10" s="1" t="s">
        <v>77</v>
      </c>
      <c r="J10" s="1" t="s">
        <v>80</v>
      </c>
    </row>
    <row r="11" spans="1:10" x14ac:dyDescent="0.25">
      <c r="A11" s="1" t="s">
        <v>23</v>
      </c>
      <c r="B11" s="1" t="s">
        <v>42</v>
      </c>
      <c r="C11" s="1">
        <v>21</v>
      </c>
      <c r="D11" s="1" t="s">
        <v>48</v>
      </c>
      <c r="E11" s="1" t="s">
        <v>56</v>
      </c>
      <c r="F11" s="1" t="s">
        <v>69</v>
      </c>
      <c r="G11" s="2">
        <f>DATE(2021,5,5)</f>
        <v>44321</v>
      </c>
      <c r="H11" s="1">
        <v>30000</v>
      </c>
      <c r="I11" s="1" t="s">
        <v>75</v>
      </c>
      <c r="J11" s="1" t="s">
        <v>80</v>
      </c>
    </row>
    <row r="12" spans="1:10" x14ac:dyDescent="0.25">
      <c r="A12" s="1" t="s">
        <v>27</v>
      </c>
      <c r="B12" s="1" t="s">
        <v>46</v>
      </c>
      <c r="C12" s="1">
        <v>22</v>
      </c>
      <c r="D12" s="1" t="s">
        <v>48</v>
      </c>
      <c r="E12" s="1" t="s">
        <v>52</v>
      </c>
      <c r="F12" s="1" t="s">
        <v>72</v>
      </c>
      <c r="G12" s="2">
        <f>DATE(2025,12,5)</f>
        <v>45996</v>
      </c>
      <c r="H12" s="1">
        <v>35000</v>
      </c>
      <c r="I12" s="1" t="s">
        <v>75</v>
      </c>
      <c r="J12" s="1" t="s">
        <v>80</v>
      </c>
    </row>
    <row r="13" spans="1:10" x14ac:dyDescent="0.25">
      <c r="A13" s="1" t="s">
        <v>20</v>
      </c>
      <c r="B13" s="1" t="s">
        <v>39</v>
      </c>
      <c r="C13" s="1">
        <v>28</v>
      </c>
      <c r="D13" s="1" t="s">
        <v>48</v>
      </c>
      <c r="E13" s="1" t="s">
        <v>52</v>
      </c>
      <c r="F13" s="1" t="s">
        <v>66</v>
      </c>
      <c r="G13" s="2">
        <f>DATE(2024,5,14)</f>
        <v>45426</v>
      </c>
      <c r="H13" s="1">
        <v>40000</v>
      </c>
      <c r="I13" s="1" t="s">
        <v>78</v>
      </c>
      <c r="J13" s="1" t="s">
        <v>80</v>
      </c>
    </row>
    <row r="14" spans="1:10" x14ac:dyDescent="0.25">
      <c r="A14" s="1" t="s">
        <v>12</v>
      </c>
      <c r="B14" s="1" t="s">
        <v>31</v>
      </c>
      <c r="C14" s="1">
        <v>36</v>
      </c>
      <c r="D14" s="1" t="s">
        <v>48</v>
      </c>
      <c r="E14" s="1" t="s">
        <v>51</v>
      </c>
      <c r="F14" s="1" t="s">
        <v>60</v>
      </c>
      <c r="G14" s="2">
        <f>DATE(2025,5,4)</f>
        <v>45781</v>
      </c>
      <c r="H14" s="1">
        <v>45000</v>
      </c>
      <c r="I14" s="1" t="s">
        <v>77</v>
      </c>
      <c r="J14" s="1" t="s">
        <v>80</v>
      </c>
    </row>
    <row r="15" spans="1:10" x14ac:dyDescent="0.25">
      <c r="A15" s="1" t="s">
        <v>21</v>
      </c>
      <c r="B15" s="1" t="s">
        <v>40</v>
      </c>
      <c r="C15" s="1">
        <v>27</v>
      </c>
      <c r="D15" s="1" t="s">
        <v>48</v>
      </c>
      <c r="E15" s="1" t="s">
        <v>56</v>
      </c>
      <c r="F15" s="1" t="s">
        <v>67</v>
      </c>
      <c r="G15" s="2">
        <f>DATE(2025,5,4)</f>
        <v>45781</v>
      </c>
      <c r="H15" s="1">
        <v>54000</v>
      </c>
      <c r="I15" s="1" t="s">
        <v>79</v>
      </c>
      <c r="J15" s="1" t="s">
        <v>80</v>
      </c>
    </row>
    <row r="16" spans="1:10" x14ac:dyDescent="0.25">
      <c r="A16" s="1" t="s">
        <v>24</v>
      </c>
      <c r="B16" s="1" t="s">
        <v>43</v>
      </c>
      <c r="C16" s="1">
        <v>25</v>
      </c>
      <c r="D16" s="1" t="s">
        <v>48</v>
      </c>
      <c r="E16" s="1" t="s">
        <v>57</v>
      </c>
      <c r="F16" s="1" t="s">
        <v>58</v>
      </c>
      <c r="G16" s="2">
        <f>DATE(2025,8,5)</f>
        <v>45874</v>
      </c>
      <c r="H16" s="1">
        <v>65000</v>
      </c>
      <c r="I16" s="1" t="s">
        <v>74</v>
      </c>
      <c r="J16" s="1" t="s">
        <v>80</v>
      </c>
    </row>
    <row r="17" spans="1:10" x14ac:dyDescent="0.25">
      <c r="A17" s="1" t="s">
        <v>14</v>
      </c>
      <c r="B17" s="1" t="s">
        <v>33</v>
      </c>
      <c r="C17" s="1">
        <v>48</v>
      </c>
      <c r="D17" s="1" t="s">
        <v>49</v>
      </c>
      <c r="E17" s="1" t="s">
        <v>53</v>
      </c>
      <c r="F17" s="1" t="s">
        <v>62</v>
      </c>
      <c r="G17" s="2">
        <f>DATE(2021,5,5)</f>
        <v>44321</v>
      </c>
      <c r="H17" s="1">
        <v>75000</v>
      </c>
      <c r="I17" s="1" t="s">
        <v>75</v>
      </c>
      <c r="J17" s="1" t="s">
        <v>80</v>
      </c>
    </row>
    <row r="18" spans="1:10" x14ac:dyDescent="0.25">
      <c r="A18" s="1" t="s">
        <v>17</v>
      </c>
      <c r="B18" s="1" t="s">
        <v>36</v>
      </c>
      <c r="C18" s="1">
        <v>30</v>
      </c>
      <c r="D18" s="1" t="s">
        <v>49</v>
      </c>
      <c r="E18" s="1" t="s">
        <v>54</v>
      </c>
      <c r="F18" s="1" t="s">
        <v>64</v>
      </c>
      <c r="G18" s="2">
        <f>DATE(2025,5,15)</f>
        <v>45792</v>
      </c>
      <c r="H18" s="1">
        <v>75000</v>
      </c>
      <c r="I18" s="1" t="s">
        <v>74</v>
      </c>
      <c r="J18" s="1" t="s">
        <v>80</v>
      </c>
    </row>
    <row r="19" spans="1:10" x14ac:dyDescent="0.25">
      <c r="A19" s="1" t="s">
        <v>28</v>
      </c>
      <c r="B19" s="1" t="s">
        <v>47</v>
      </c>
      <c r="C19" s="1">
        <v>21</v>
      </c>
      <c r="D19" s="1" t="s">
        <v>48</v>
      </c>
      <c r="E19" s="1" t="s">
        <v>51</v>
      </c>
      <c r="F19" s="1" t="s">
        <v>73</v>
      </c>
      <c r="G19" s="2">
        <f>DATE(2025,5,5)</f>
        <v>45782</v>
      </c>
      <c r="H19" s="1">
        <v>95000</v>
      </c>
      <c r="I19" s="1" t="s">
        <v>75</v>
      </c>
      <c r="J19" s="1" t="s">
        <v>80</v>
      </c>
    </row>
    <row r="20" spans="1:10" x14ac:dyDescent="0.25">
      <c r="A20" s="1" t="s">
        <v>18</v>
      </c>
      <c r="B20" s="1" t="s">
        <v>37</v>
      </c>
      <c r="C20" s="1">
        <v>26</v>
      </c>
      <c r="D20" s="1" t="s">
        <v>49</v>
      </c>
      <c r="E20" s="1" t="s">
        <v>55</v>
      </c>
      <c r="F20" s="1" t="s">
        <v>65</v>
      </c>
      <c r="G20" s="2">
        <f>DATE(2025,12,5)</f>
        <v>45996</v>
      </c>
      <c r="H20" s="1">
        <v>100000</v>
      </c>
      <c r="I20" s="1" t="s">
        <v>75</v>
      </c>
      <c r="J20" s="1" t="s">
        <v>80</v>
      </c>
    </row>
    <row r="21" spans="1:10" x14ac:dyDescent="0.25">
      <c r="G21" s="1" t="s">
        <v>81</v>
      </c>
      <c r="H21" s="1">
        <f>SUBTOTAL(109,H1:H20)</f>
        <v>804500</v>
      </c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2026-10-04T14:49:16Z</dcterms:created>
  <dcterms:modified xsi:type="dcterms:W3CDTF">2026-10-04T16:27:21Z</dcterms:modified>
</cp:coreProperties>
</file>